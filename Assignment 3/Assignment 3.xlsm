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46e562cb943033/Desktop/"/>
    </mc:Choice>
  </mc:AlternateContent>
  <xr:revisionPtr revIDLastSave="1" documentId="8_{4DEDB4A3-BD11-4D97-BFD1-F5446078BEE7}" xr6:coauthVersionLast="40" xr6:coauthVersionMax="47" xr10:uidLastSave="{8ACD8408-A75A-4F90-A5E6-41A9D5E35079}"/>
  <bookViews>
    <workbookView xWindow="-105" yWindow="-105" windowWidth="23250" windowHeight="12450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S8" i="1"/>
  <c r="O8" i="1"/>
  <c r="O9" i="1"/>
  <c r="O10" i="1"/>
  <c r="O11" i="1"/>
  <c r="O12" i="1"/>
  <c r="O13" i="1"/>
  <c r="O14" i="1"/>
  <c r="O17" i="1"/>
  <c r="O20" i="1"/>
  <c r="O27" i="1"/>
  <c r="O29" i="1"/>
  <c r="O31" i="1"/>
  <c r="O35" i="1"/>
  <c r="O37" i="1"/>
  <c r="O39" i="1"/>
  <c r="O42" i="1"/>
  <c r="O45" i="1"/>
  <c r="O47" i="1"/>
  <c r="O49" i="1"/>
  <c r="O52" i="1"/>
  <c r="O55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N54" i="1" l="1"/>
  <c r="O54" i="1" s="1"/>
  <c r="N53" i="1"/>
  <c r="O53" i="1" s="1"/>
  <c r="N51" i="1"/>
  <c r="O51" i="1" s="1"/>
  <c r="N50" i="1"/>
  <c r="O50" i="1" s="1"/>
  <c r="N48" i="1"/>
  <c r="O48" i="1" s="1"/>
  <c r="N46" i="1"/>
  <c r="O46" i="1" s="1"/>
  <c r="N44" i="1"/>
  <c r="O44" i="1" s="1"/>
  <c r="N43" i="1"/>
  <c r="O43" i="1" s="1"/>
  <c r="N41" i="1"/>
  <c r="O41" i="1" s="1"/>
  <c r="N40" i="1"/>
  <c r="O40" i="1" s="1"/>
  <c r="N38" i="1"/>
  <c r="O38" i="1" s="1"/>
  <c r="N36" i="1"/>
  <c r="O36" i="1" s="1"/>
  <c r="N34" i="1"/>
  <c r="O34" i="1" s="1"/>
  <c r="N33" i="1"/>
  <c r="O33" i="1" s="1"/>
  <c r="N32" i="1"/>
  <c r="O32" i="1" s="1"/>
  <c r="N30" i="1"/>
  <c r="O30" i="1" s="1"/>
  <c r="N28" i="1"/>
  <c r="O28" i="1" s="1"/>
  <c r="N26" i="1"/>
  <c r="O26" i="1" s="1"/>
  <c r="N25" i="1"/>
  <c r="O25" i="1" s="1"/>
  <c r="N24" i="1"/>
  <c r="O24" i="1" s="1"/>
  <c r="N23" i="1"/>
  <c r="O23" i="1" s="1"/>
  <c r="N22" i="1"/>
  <c r="O22" i="1" s="1"/>
  <c r="N21" i="1"/>
  <c r="O21" i="1" s="1"/>
  <c r="N19" i="1"/>
  <c r="O19" i="1" s="1"/>
  <c r="N18" i="1"/>
  <c r="O18" i="1" s="1"/>
  <c r="N16" i="1"/>
  <c r="O16" i="1" s="1"/>
  <c r="N15" i="1"/>
  <c r="O15" i="1" s="1"/>
</calcChain>
</file>

<file path=xl/sharedStrings.xml><?xml version="1.0" encoding="utf-8"?>
<sst xmlns="http://schemas.openxmlformats.org/spreadsheetml/2006/main" count="250" uniqueCount="159">
  <si>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</si>
  <si>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</si>
  <si>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</si>
  <si>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</si>
  <si>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</si>
  <si>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</si>
  <si>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</si>
  <si>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</si>
  <si>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</si>
  <si>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</si>
  <si>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</si>
  <si>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</si>
  <si>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</si>
  <si>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</si>
  <si>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</si>
  <si>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</si>
  <si>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</si>
  <si>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</si>
  <si>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</si>
  <si>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</si>
  <si>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</si>
  <si>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</si>
  <si>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</si>
  <si>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</si>
  <si>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</si>
  <si>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</si>
  <si>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</si>
  <si>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</si>
  <si>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</si>
  <si>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</si>
  <si>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</si>
  <si>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</si>
  <si>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</si>
  <si>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</si>
  <si>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</si>
  <si>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</si>
  <si>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</si>
  <si>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</si>
  <si>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</si>
  <si>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</si>
  <si>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</si>
  <si>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</si>
  <si>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</si>
  <si>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</si>
  <si>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</si>
  <si>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</si>
  <si>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</si>
  <si>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</si>
  <si>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</si>
  <si>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</si>
  <si>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</si>
  <si>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</si>
  <si>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</si>
  <si>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</si>
  <si>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</si>
  <si>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</si>
  <si>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</si>
  <si>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</si>
  <si>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</si>
  <si>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</si>
  <si>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</si>
  <si>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</si>
  <si>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</si>
  <si>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</si>
  <si>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</si>
  <si>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</si>
  <si>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</si>
  <si>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</si>
  <si>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</si>
  <si>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</si>
  <si>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</si>
  <si>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</si>
  <si>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</si>
  <si>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</si>
  <si>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</si>
  <si>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</si>
  <si>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</si>
  <si>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</si>
  <si>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</si>
  <si>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</si>
  <si>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</si>
  <si>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</si>
  <si>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</si>
  <si>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</si>
  <si>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</si>
  <si>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</si>
  <si>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</si>
  <si>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</si>
  <si>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</si>
  <si>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</si>
  <si>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</si>
  <si>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</si>
  <si>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</si>
  <si>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</si>
  <si>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</si>
  <si>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</si>
  <si>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</si>
  <si>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</si>
  <si>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</si>
  <si>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</si>
  <si>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</si>
  <si>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</si>
  <si>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</si>
  <si>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</si>
  <si>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</si>
  <si>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</si>
  <si>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</si>
  <si>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</si>
  <si>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</si>
  <si>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</si>
  <si>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</si>
  <si>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</si>
  <si>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</si>
  <si>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</si>
  <si>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</si>
  <si>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</si>
  <si>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</si>
  <si>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</si>
  <si>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</si>
  <si>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</si>
  <si>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</si>
  <si>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</si>
  <si>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</si>
  <si>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</si>
  <si>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</si>
  <si>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</si>
  <si>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</si>
  <si>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</si>
  <si>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</si>
  <si>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</si>
  <si>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</si>
  <si>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</si>
  <si>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</si>
  <si>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</si>
  <si>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</si>
  <si>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</si>
  <si>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</si>
  <si>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</si>
  <si>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</si>
  <si>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</si>
  <si>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</si>
  <si>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</si>
  <si>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</si>
  <si>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Hr</t>
  </si>
  <si>
    <t>Operations</t>
  </si>
  <si>
    <t>IT Department</t>
  </si>
  <si>
    <t>HR</t>
  </si>
  <si>
    <t>Finance/Accounts</t>
  </si>
  <si>
    <t>Mangement</t>
  </si>
  <si>
    <t>Data Science</t>
  </si>
  <si>
    <t>DaTa SciENce</t>
  </si>
  <si>
    <t>91-6666666666</t>
  </si>
  <si>
    <t>Name_2</t>
  </si>
  <si>
    <t>Age_2</t>
  </si>
  <si>
    <t>Phone_2</t>
  </si>
  <si>
    <t>support@dataisgood.com</t>
  </si>
  <si>
    <t>Department_2</t>
  </si>
  <si>
    <t>SaLES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</si>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</sst>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2" borderId="0" xfId="1" applyFill="1"/>
  </cellXfs>
  <cellStyles count="2">
    <cellStyle name="Hy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0</xdr:row>
      <xdr:rowOff>114300</xdr:rowOff>
    </xdr:from>
    <xdr:to>
      <xdr:col>13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Q55" totalsRowShown="0" headerRowDxfId="17" dataDxfId="16">
  <tableColumns count="13">
    <tableColumn id="1" xr3:uid="{0F186AC9-7116-4750-8350-32E39657BDEF}" name="Id" dataDxfId="15"/>
    <tableColumn id="2" xr3:uid="{587ADADF-3A31-4671-AAB2-636A2204C2A1}" name="Name" dataDxfId="14"/>
    <tableColumn id="10" xr3:uid="{38D46BB9-DE9C-4471-9710-72782F20DB40}" name="Name_2" dataDxfId="6">
      <calculatedColumnFormula>IF(Table1[[#This Row],[Name]]="",REPLACE(PROPER(LEFT(Table1[[#This Row],[Email]],FIND("@",Table1[[#This Row],[Email]])-1)),FIND(".",LEFT(Table1[[#This Row],[Email]],FIND("@",Table1[[#This Row],[Email]])-1)),1," "),Table1[[#This Row],[Name]])</calculatedColumnFormula>
    </tableColumn>
    <tableColumn id="3" xr3:uid="{D20B21E4-141B-4F80-B509-FFFDBDDDD7F4}" name="Age" dataDxfId="13"/>
    <tableColumn id="11" xr3:uid="{2DC0E3F6-812B-4D33-BB03-07B0A5E07BF1}" name="Age_2" dataDxfId="5">
      <calculatedColumnFormula>IF(Table1[[#This Row],[Age]]="",AVERAGE(Table1[Age]),Table1[[#This Row],[Age]])</calculatedColumnFormula>
    </tableColumn>
    <tableColumn id="4" xr3:uid="{988050FD-7A13-4567-B7F1-B83DFF6C50D6}" name="Gender" dataDxfId="12"/>
    <tableColumn id="5" xr3:uid="{71DD8E56-AB70-41BA-BE06-62EA46C80DEC}" name="Department" dataDxfId="11"/>
    <tableColumn id="14" xr3:uid="{6FD7D53B-2621-4039-8A08-9F5BBB930CF8}" name="Department_2" dataDxfId="0">
      <calculatedColumnFormula>UPPER(Table1[[#This Row],[Department]])</calculatedColumnFormula>
    </tableColumn>
    <tableColumn id="6" xr3:uid="{C20650CA-3DDE-4C63-83CA-462380F46BB4}" name="Email" dataDxfId="10"/>
    <tableColumn id="7" xr3:uid="{9F3F4B7E-0B29-4F47-944B-C89BC5596DA2}" name="Phone" dataDxfId="9"/>
    <tableColumn id="12" xr3:uid="{29B85D75-BA39-4EE3-91F4-306D0A9ABD0C}" name="Phone_2" dataDxfId="4">
      <calculatedColumnFormula>IF(Table1[[#This Row],[Phone]]="","",IF(LEFT(Table1[[#This Row],[Phone]],3)="91-",Table1[[#This Row],[Phone]],"91"&amp;Table1[[#This Row],[Phone]]))</calculatedColumnFormula>
    </tableColumn>
    <tableColumn id="8" xr3:uid="{9894F713-829B-4BE3-B5D2-22F23DA72823}" name="Address" dataDxfId="8"/>
    <tableColumn id="9" xr3:uid="{69CDA7D3-FED4-49AB-9173-918B9E817F84}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hone_@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S55"/>
  <sheetViews>
    <sheetView tabSelected="1" topLeftCell="G7" workbookViewId="0">
      <selection activeCell="M19" sqref="M19"/>
    </sheetView>
  </sheetViews>
  <sheetFormatPr defaultRowHeight="15" x14ac:dyDescent="0.25"/>
  <cols>
    <col min="5" max="5" width="3" bestFit="1" customWidth="1"/>
    <col min="6" max="6" width="14.140625" bestFit="1" customWidth="1"/>
    <col min="7" max="7" width="14.140625" customWidth="1"/>
    <col min="8" max="8" width="4.42578125" bestFit="1" customWidth="1"/>
    <col min="9" max="9" width="6.42578125" bestFit="1" customWidth="1"/>
    <col min="10" max="10" width="7.42578125" bestFit="1" customWidth="1"/>
    <col min="11" max="11" width="16.85546875" bestFit="1" customWidth="1"/>
    <col min="12" max="12" width="16.85546875" customWidth="1"/>
    <col min="13" max="13" width="27.140625" bestFit="1" customWidth="1"/>
    <col min="14" max="14" width="13.85546875" bestFit="1" customWidth="1"/>
    <col min="15" max="15" width="13.85546875" customWidth="1"/>
    <col min="16" max="16" width="39.5703125" bestFit="1" customWidth="1"/>
    <col min="17" max="17" width="6.42578125" bestFit="1" customWidth="1"/>
  </cols>
  <sheetData>
    <row r="7" spans="5:19" ht="16.5" x14ac:dyDescent="0.3">
      <c r="E7" s="1" t="s">
        <v>1</v>
      </c>
      <c r="F7" s="1" t="s">
        <v>0</v>
      </c>
      <c r="G7" s="1" t="s">
        <v>152</v>
      </c>
      <c r="H7" s="1" t="s">
        <v>2</v>
      </c>
      <c r="I7" s="1" t="s">
        <v>153</v>
      </c>
      <c r="J7" s="1" t="s">
        <v>3</v>
      </c>
      <c r="K7" s="1" t="s">
        <v>140</v>
      </c>
      <c r="L7" s="1" t="s">
        <v>156</v>
      </c>
      <c r="M7" s="1" t="s">
        <v>4</v>
      </c>
      <c r="N7" s="1" t="s">
        <v>5</v>
      </c>
      <c r="O7" s="3" t="s">
        <v>154</v>
      </c>
      <c r="P7" s="1" t="s">
        <v>6</v>
      </c>
      <c r="Q7" s="1" t="s">
        <v>134</v>
      </c>
    </row>
    <row r="8" spans="5:19" x14ac:dyDescent="0.25">
      <c r="E8" s="2">
        <v>1</v>
      </c>
      <c r="F8" s="2" t="s">
        <v>33</v>
      </c>
      <c r="G8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John Doe</v>
      </c>
      <c r="H8" s="2">
        <v>32</v>
      </c>
      <c r="I8" s="2">
        <f>IF(Table1[[#This Row],[Age]]="",AVERAGE(Table1[Age]),Table1[[#This Row],[Age]])</f>
        <v>32</v>
      </c>
      <c r="J8" s="2" t="s">
        <v>8</v>
      </c>
      <c r="K8" s="2" t="s">
        <v>144</v>
      </c>
      <c r="L8" s="2" t="str">
        <f>UPPER(Table1[[#This Row],[Department]])</f>
        <v>OPERATIONS</v>
      </c>
      <c r="M8" s="2" t="s">
        <v>34</v>
      </c>
      <c r="N8" s="2" t="s">
        <v>135</v>
      </c>
      <c r="O8" s="2" t="str">
        <f>IF(Table1[[#This Row],[Phone]]="","",IF(LEFT(Table1[[#This Row],[Phone]],3)="91-",Table1[[#This Row],[Phone]],"91"&amp;Table1[[#This Row],[Phone]]))</f>
        <v>91-1234567890</v>
      </c>
      <c r="P8" s="2" t="s">
        <v>35</v>
      </c>
      <c r="Q8" s="2">
        <v>4553</v>
      </c>
      <c r="S8">
        <f>LARGE(Table1[Salary],10)</f>
        <v>40940</v>
      </c>
    </row>
    <row r="9" spans="5:19" x14ac:dyDescent="0.25">
      <c r="E9" s="2">
        <v>2</v>
      </c>
      <c r="F9" s="2" t="s">
        <v>36</v>
      </c>
      <c r="G9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Jane Smith</v>
      </c>
      <c r="H9" s="2">
        <v>28</v>
      </c>
      <c r="I9" s="2">
        <f>IF(Table1[[#This Row],[Age]]="",AVERAGE(Table1[Age]),Table1[[#This Row],[Age]])</f>
        <v>28</v>
      </c>
      <c r="J9" s="2" t="s">
        <v>12</v>
      </c>
      <c r="K9" s="2" t="s">
        <v>145</v>
      </c>
      <c r="L9" s="2" t="str">
        <f>UPPER(Table1[[#This Row],[Department]])</f>
        <v>IT DEPARTMENT</v>
      </c>
      <c r="M9" s="2" t="s">
        <v>37</v>
      </c>
      <c r="N9" s="2" t="s">
        <v>136</v>
      </c>
      <c r="O9" s="2" t="str">
        <f>IF(Table1[[#This Row],[Phone]]="","",IF(LEFT(Table1[[#This Row],[Phone]],3)="91-",Table1[[#This Row],[Phone]],"91"&amp;Table1[[#This Row],[Phone]]))</f>
        <v>91-9876543210</v>
      </c>
      <c r="P9" s="2" t="s">
        <v>38</v>
      </c>
      <c r="Q9" s="2">
        <v>31169</v>
      </c>
    </row>
    <row r="10" spans="5:19" x14ac:dyDescent="0.25">
      <c r="E10" s="2">
        <v>3</v>
      </c>
      <c r="F10" s="2" t="s">
        <v>39</v>
      </c>
      <c r="G10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Amit Patel</v>
      </c>
      <c r="H10" s="2">
        <v>27</v>
      </c>
      <c r="I10" s="2">
        <f>IF(Table1[[#This Row],[Age]]="",AVERAGE(Table1[Age]),Table1[[#This Row],[Age]])</f>
        <v>27</v>
      </c>
      <c r="J10" s="2" t="s">
        <v>8</v>
      </c>
      <c r="K10" s="2" t="s">
        <v>145</v>
      </c>
      <c r="L10" s="2" t="str">
        <f>UPPER(Table1[[#This Row],[Department]])</f>
        <v>IT DEPARTMENT</v>
      </c>
      <c r="M10" s="2" t="s">
        <v>40</v>
      </c>
      <c r="N10" s="2" t="s">
        <v>137</v>
      </c>
      <c r="O10" s="2" t="str">
        <f>IF(Table1[[#This Row],[Phone]]="","",IF(LEFT(Table1[[#This Row],[Phone]],3)="91-",Table1[[#This Row],[Phone]],"91"&amp;Table1[[#This Row],[Phone]]))</f>
        <v>91-8765432109</v>
      </c>
      <c r="P10" s="2" t="s">
        <v>41</v>
      </c>
      <c r="Q10" s="2">
        <v>11116</v>
      </c>
    </row>
    <row r="11" spans="5:19" x14ac:dyDescent="0.25">
      <c r="E11" s="2">
        <v>4</v>
      </c>
      <c r="F11" s="2" t="s">
        <v>42</v>
      </c>
      <c r="G11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Priya Sharma</v>
      </c>
      <c r="H11" s="2">
        <v>33</v>
      </c>
      <c r="I11" s="2">
        <f>IF(Table1[[#This Row],[Age]]="",AVERAGE(Table1[Age]),Table1[[#This Row],[Age]])</f>
        <v>33</v>
      </c>
      <c r="J11" s="2" t="s">
        <v>12</v>
      </c>
      <c r="K11" s="2" t="s">
        <v>141</v>
      </c>
      <c r="L11" s="2" t="str">
        <f>UPPER(Table1[[#This Row],[Department]])</f>
        <v>SALES</v>
      </c>
      <c r="M11" s="2" t="s">
        <v>43</v>
      </c>
      <c r="N11" s="2" t="s">
        <v>138</v>
      </c>
      <c r="O11" s="2" t="str">
        <f>IF(Table1[[#This Row],[Phone]]="","",IF(LEFT(Table1[[#This Row],[Phone]],3)="91-",Table1[[#This Row],[Phone]],"91"&amp;Table1[[#This Row],[Phone]]))</f>
        <v>91-5555555555</v>
      </c>
      <c r="P11" s="2" t="s">
        <v>44</v>
      </c>
      <c r="Q11" s="2">
        <v>33457</v>
      </c>
    </row>
    <row r="12" spans="5:19" x14ac:dyDescent="0.25">
      <c r="E12" s="2">
        <v>5</v>
      </c>
      <c r="F12" s="2"/>
      <c r="G12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Jane Doe</v>
      </c>
      <c r="H12" s="2">
        <v>29</v>
      </c>
      <c r="I12" s="2">
        <f>IF(Table1[[#This Row],[Age]]="",AVERAGE(Table1[Age]),Table1[[#This Row],[Age]])</f>
        <v>29</v>
      </c>
      <c r="J12" s="2" t="s">
        <v>12</v>
      </c>
      <c r="K12" s="2" t="s">
        <v>141</v>
      </c>
      <c r="L12" s="2" t="str">
        <f>UPPER(Table1[[#This Row],[Department]])</f>
        <v>SALES</v>
      </c>
      <c r="M12" s="2" t="s">
        <v>45</v>
      </c>
      <c r="N12" s="2"/>
      <c r="O12" s="2" t="str">
        <f>IF(Table1[[#This Row],[Phone]]="","",IF(LEFT(Table1[[#This Row],[Phone]],3)="91-",Table1[[#This Row],[Phone]],"91"&amp;Table1[[#This Row],[Phone]]))</f>
        <v/>
      </c>
      <c r="P12" s="2" t="s">
        <v>158</v>
      </c>
      <c r="Q12" s="2">
        <v>21918</v>
      </c>
    </row>
    <row r="13" spans="5:19" x14ac:dyDescent="0.25">
      <c r="E13" s="2">
        <v>6</v>
      </c>
      <c r="F13" s="2" t="s">
        <v>46</v>
      </c>
      <c r="G13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Rakesh Kumar</v>
      </c>
      <c r="H13" s="2">
        <v>34</v>
      </c>
      <c r="I13" s="2">
        <f>IF(Table1[[#This Row],[Age]]="",AVERAGE(Table1[Age]),Table1[[#This Row],[Age]])</f>
        <v>34</v>
      </c>
      <c r="J13" s="2" t="s">
        <v>8</v>
      </c>
      <c r="K13" s="2" t="s">
        <v>150</v>
      </c>
      <c r="L13" s="2" t="str">
        <f>UPPER(Table1[[#This Row],[Department]])</f>
        <v>DATA SCIENCE</v>
      </c>
      <c r="M13" s="2" t="s">
        <v>47</v>
      </c>
      <c r="N13" s="2"/>
      <c r="O13" s="2" t="str">
        <f>IF(Table1[[#This Row],[Phone]]="","",IF(LEFT(Table1[[#This Row],[Phone]],3)="91-",Table1[[#This Row],[Phone]],"91"&amp;Table1[[#This Row],[Phone]]))</f>
        <v/>
      </c>
      <c r="P13" s="2" t="s">
        <v>48</v>
      </c>
      <c r="Q13" s="2">
        <v>33418</v>
      </c>
    </row>
    <row r="14" spans="5:19" x14ac:dyDescent="0.25">
      <c r="E14" s="2">
        <v>7</v>
      </c>
      <c r="F14" s="2" t="s">
        <v>49</v>
      </c>
      <c r="G14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Divya Singh</v>
      </c>
      <c r="H14" s="2">
        <v>25</v>
      </c>
      <c r="I14" s="2">
        <f>IF(Table1[[#This Row],[Age]]="",AVERAGE(Table1[Age]),Table1[[#This Row],[Age]])</f>
        <v>25</v>
      </c>
      <c r="J14" s="2" t="s">
        <v>12</v>
      </c>
      <c r="K14" s="2" t="s">
        <v>145</v>
      </c>
      <c r="L14" s="2" t="str">
        <f>UPPER(Table1[[#This Row],[Department]])</f>
        <v>IT DEPARTMENT</v>
      </c>
      <c r="M14" s="2" t="s">
        <v>155</v>
      </c>
      <c r="N14" s="2" t="s">
        <v>139</v>
      </c>
      <c r="O14" s="2" t="str">
        <f>IF(Table1[[#This Row],[Phone]]="","",IF(LEFT(Table1[[#This Row],[Phone]],3)="91-",Table1[[#This Row],[Phone]],"91"&amp;Table1[[#This Row],[Phone]]))</f>
        <v>91-9999999999</v>
      </c>
      <c r="P14" s="2" t="s">
        <v>50</v>
      </c>
      <c r="Q14" s="2">
        <v>45828</v>
      </c>
    </row>
    <row r="15" spans="5:19" x14ac:dyDescent="0.25">
      <c r="E15" s="2">
        <v>8</v>
      </c>
      <c r="F15" s="2" t="s">
        <v>51</v>
      </c>
      <c r="G15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Aman Verma</v>
      </c>
      <c r="H15" s="2">
        <v>31</v>
      </c>
      <c r="I15" s="2">
        <f>IF(Table1[[#This Row],[Age]]="",AVERAGE(Table1[Age]),Table1[[#This Row],[Age]])</f>
        <v>31</v>
      </c>
      <c r="J15" s="2" t="s">
        <v>8</v>
      </c>
      <c r="K15" s="2" t="s">
        <v>141</v>
      </c>
      <c r="L15" s="2" t="str">
        <f>UPPER(Table1[[#This Row],[Department]])</f>
        <v>SALES</v>
      </c>
      <c r="M15" s="2" t="s">
        <v>52</v>
      </c>
      <c r="N15" s="2">
        <f>91-8888888888</f>
        <v>-8888888797</v>
      </c>
      <c r="O15" s="2" t="str">
        <f>IF(Table1[[#This Row],[Phone]]="","",IF(LEFT(Table1[[#This Row],[Phone]],3)="91-",Table1[[#This Row],[Phone]],"91"&amp;Table1[[#This Row],[Phone]]))</f>
        <v>91-8888888797</v>
      </c>
      <c r="P15" s="2" t="s">
        <v>158</v>
      </c>
      <c r="Q15" s="2">
        <v>45450</v>
      </c>
    </row>
    <row r="16" spans="5:19" x14ac:dyDescent="0.25">
      <c r="E16" s="2">
        <v>9</v>
      </c>
      <c r="F16" s="2" t="s">
        <v>53</v>
      </c>
      <c r="G16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Neha Gupta</v>
      </c>
      <c r="H16" s="2">
        <v>27</v>
      </c>
      <c r="I16" s="2">
        <f>IF(Table1[[#This Row],[Age]]="",AVERAGE(Table1[Age]),Table1[[#This Row],[Age]])</f>
        <v>27</v>
      </c>
      <c r="J16" s="2" t="s">
        <v>12</v>
      </c>
      <c r="K16" s="2" t="s">
        <v>157</v>
      </c>
      <c r="L16" s="2" t="str">
        <f>UPPER(Table1[[#This Row],[Department]])</f>
        <v>SALES</v>
      </c>
      <c r="M16" s="2" t="s">
        <v>54</v>
      </c>
      <c r="N16" s="2">
        <f>91-7777777777</f>
        <v>-7777777686</v>
      </c>
      <c r="O16" s="2" t="str">
        <f>IF(Table1[[#This Row],[Phone]]="","",IF(LEFT(Table1[[#This Row],[Phone]],3)="91-",Table1[[#This Row],[Phone]],"91"&amp;Table1[[#This Row],[Phone]]))</f>
        <v>91-7777777686</v>
      </c>
      <c r="P16" s="2" t="s">
        <v>55</v>
      </c>
      <c r="Q16" s="2">
        <v>49938</v>
      </c>
    </row>
    <row r="17" spans="5:17" x14ac:dyDescent="0.25">
      <c r="E17" s="2">
        <v>10</v>
      </c>
      <c r="F17" s="2"/>
      <c r="G17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Naveen Sharma</v>
      </c>
      <c r="H17" s="2">
        <v>35</v>
      </c>
      <c r="I17" s="2">
        <f>IF(Table1[[#This Row],[Age]]="",AVERAGE(Table1[Age]),Table1[[#This Row],[Age]])</f>
        <v>35</v>
      </c>
      <c r="J17" s="2" t="s">
        <v>8</v>
      </c>
      <c r="K17" s="2" t="s">
        <v>144</v>
      </c>
      <c r="L17" s="2" t="str">
        <f>UPPER(Table1[[#This Row],[Department]])</f>
        <v>OPERATIONS</v>
      </c>
      <c r="M17" s="2" t="s">
        <v>56</v>
      </c>
      <c r="N17" s="2"/>
      <c r="O17" s="2" t="str">
        <f>IF(Table1[[#This Row],[Phone]]="","",IF(LEFT(Table1[[#This Row],[Phone]],3)="91-",Table1[[#This Row],[Phone]],"91"&amp;Table1[[#This Row],[Phone]]))</f>
        <v/>
      </c>
      <c r="P17" s="2" t="s">
        <v>57</v>
      </c>
      <c r="Q17" s="2">
        <v>9818</v>
      </c>
    </row>
    <row r="18" spans="5:17" x14ac:dyDescent="0.25">
      <c r="E18" s="2">
        <v>11</v>
      </c>
      <c r="F18" s="2" t="s">
        <v>58</v>
      </c>
      <c r="G18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Vinita Kapoor</v>
      </c>
      <c r="H18" s="2"/>
      <c r="I18" s="2">
        <f>IF(Table1[[#This Row],[Age]]="",AVERAGE(Table1[Age]),Table1[[#This Row],[Age]])</f>
        <v>29.636363636363637</v>
      </c>
      <c r="J18" s="2" t="s">
        <v>12</v>
      </c>
      <c r="K18" s="2" t="s">
        <v>145</v>
      </c>
      <c r="L18" s="2" t="str">
        <f>UPPER(Table1[[#This Row],[Department]])</f>
        <v>IT DEPARTMENT</v>
      </c>
      <c r="M18" s="2" t="s">
        <v>59</v>
      </c>
      <c r="N18" s="2">
        <f>91-6666666666</f>
        <v>-6666666575</v>
      </c>
      <c r="O18" s="2" t="str">
        <f>IF(Table1[[#This Row],[Phone]]="","",IF(LEFT(Table1[[#This Row],[Phone]],3)="91-",Table1[[#This Row],[Phone]],"91"&amp;Table1[[#This Row],[Phone]]))</f>
        <v>91-6666666575</v>
      </c>
      <c r="P18" s="2" t="s">
        <v>60</v>
      </c>
      <c r="Q18" s="2">
        <v>41836</v>
      </c>
    </row>
    <row r="19" spans="5:17" x14ac:dyDescent="0.25">
      <c r="E19" s="2">
        <v>12</v>
      </c>
      <c r="F19" s="2" t="s">
        <v>61</v>
      </c>
      <c r="G19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Rajeev Kumar</v>
      </c>
      <c r="H19" s="2">
        <v>29</v>
      </c>
      <c r="I19" s="2">
        <f>IF(Table1[[#This Row],[Age]]="",AVERAGE(Table1[Age]),Table1[[#This Row],[Age]])</f>
        <v>29</v>
      </c>
      <c r="J19" s="2" t="s">
        <v>8</v>
      </c>
      <c r="K19" s="2" t="s">
        <v>145</v>
      </c>
      <c r="L19" s="2" t="str">
        <f>UPPER(Table1[[#This Row],[Department]])</f>
        <v>IT DEPARTMENT</v>
      </c>
      <c r="M19" s="2" t="s">
        <v>62</v>
      </c>
      <c r="N19" s="2">
        <f>91-5555555555</f>
        <v>-5555555464</v>
      </c>
      <c r="O19" s="2" t="str">
        <f>IF(Table1[[#This Row],[Phone]]="","",IF(LEFT(Table1[[#This Row],[Phone]],3)="91-",Table1[[#This Row],[Phone]],"91"&amp;Table1[[#This Row],[Phone]]))</f>
        <v>91-5555555464</v>
      </c>
      <c r="P19" s="2" t="s">
        <v>63</v>
      </c>
      <c r="Q19" s="2">
        <v>11901</v>
      </c>
    </row>
    <row r="20" spans="5:17" x14ac:dyDescent="0.25">
      <c r="E20" s="2">
        <v>14</v>
      </c>
      <c r="F20" s="2" t="s">
        <v>64</v>
      </c>
      <c r="G20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Swati Singh</v>
      </c>
      <c r="H20" s="2">
        <v>28</v>
      </c>
      <c r="I20" s="2">
        <f>IF(Table1[[#This Row],[Age]]="",AVERAGE(Table1[Age]),Table1[[#This Row],[Age]])</f>
        <v>28</v>
      </c>
      <c r="J20" s="2" t="s">
        <v>12</v>
      </c>
      <c r="K20" s="2" t="s">
        <v>146</v>
      </c>
      <c r="L20" s="2" t="str">
        <f>UPPER(Table1[[#This Row],[Department]])</f>
        <v>HR</v>
      </c>
      <c r="M20" s="2" t="s">
        <v>65</v>
      </c>
      <c r="N20" s="2"/>
      <c r="O20" s="2" t="str">
        <f>IF(Table1[[#This Row],[Phone]]="","",IF(LEFT(Table1[[#This Row],[Phone]],3)="91-",Table1[[#This Row],[Phone]],"91"&amp;Table1[[#This Row],[Phone]]))</f>
        <v/>
      </c>
      <c r="P20" s="2" t="s">
        <v>66</v>
      </c>
      <c r="Q20" s="2">
        <v>21978</v>
      </c>
    </row>
    <row r="21" spans="5:17" x14ac:dyDescent="0.25">
      <c r="E21" s="2">
        <v>15</v>
      </c>
      <c r="F21" s="2"/>
      <c r="G21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Kavita Sharma</v>
      </c>
      <c r="H21" s="2">
        <v>30</v>
      </c>
      <c r="I21" s="2">
        <f>IF(Table1[[#This Row],[Age]]="",AVERAGE(Table1[Age]),Table1[[#This Row],[Age]])</f>
        <v>30</v>
      </c>
      <c r="J21" s="2" t="s">
        <v>12</v>
      </c>
      <c r="K21" s="2" t="s">
        <v>147</v>
      </c>
      <c r="L21" s="2" t="str">
        <f>UPPER(Table1[[#This Row],[Department]])</f>
        <v>FINANCE/ACCOUNTS</v>
      </c>
      <c r="M21" s="2" t="s">
        <v>67</v>
      </c>
      <c r="N21" s="2">
        <f>91-8888888888</f>
        <v>-8888888797</v>
      </c>
      <c r="O21" s="2" t="str">
        <f>IF(Table1[[#This Row],[Phone]]="","",IF(LEFT(Table1[[#This Row],[Phone]],3)="91-",Table1[[#This Row],[Phone]],"91"&amp;Table1[[#This Row],[Phone]]))</f>
        <v>91-8888888797</v>
      </c>
      <c r="P21" s="2" t="s">
        <v>158</v>
      </c>
      <c r="Q21" s="2">
        <v>49400</v>
      </c>
    </row>
    <row r="22" spans="5:17" x14ac:dyDescent="0.25">
      <c r="E22" s="2">
        <v>16</v>
      </c>
      <c r="F22" s="2" t="s">
        <v>68</v>
      </c>
      <c r="G22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Manish Patel</v>
      </c>
      <c r="H22" s="2">
        <v>32</v>
      </c>
      <c r="I22" s="2">
        <f>IF(Table1[[#This Row],[Age]]="",AVERAGE(Table1[Age]),Table1[[#This Row],[Age]])</f>
        <v>32</v>
      </c>
      <c r="J22" s="2" t="s">
        <v>8</v>
      </c>
      <c r="K22" s="2" t="s">
        <v>148</v>
      </c>
      <c r="L22" s="2" t="str">
        <f>UPPER(Table1[[#This Row],[Department]])</f>
        <v>MANGEMENT</v>
      </c>
      <c r="M22" s="2" t="s">
        <v>69</v>
      </c>
      <c r="N22" s="2">
        <f>91-1234567890</f>
        <v>-1234567799</v>
      </c>
      <c r="O22" s="2" t="str">
        <f>IF(Table1[[#This Row],[Phone]]="","",IF(LEFT(Table1[[#This Row],[Phone]],3)="91-",Table1[[#This Row],[Phone]],"91"&amp;Table1[[#This Row],[Phone]]))</f>
        <v>91-1234567799</v>
      </c>
      <c r="P22" s="2" t="s">
        <v>70</v>
      </c>
      <c r="Q22" s="2">
        <v>28476</v>
      </c>
    </row>
    <row r="23" spans="5:17" x14ac:dyDescent="0.25">
      <c r="E23" s="2">
        <v>17</v>
      </c>
      <c r="F23" s="2" t="s">
        <v>71</v>
      </c>
      <c r="G23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Priyanka Jain</v>
      </c>
      <c r="H23" s="2">
        <v>26</v>
      </c>
      <c r="I23" s="2">
        <f>IF(Table1[[#This Row],[Age]]="",AVERAGE(Table1[Age]),Table1[[#This Row],[Age]])</f>
        <v>26</v>
      </c>
      <c r="J23" s="2" t="s">
        <v>12</v>
      </c>
      <c r="K23" s="2" t="s">
        <v>149</v>
      </c>
      <c r="L23" s="2" t="str">
        <f>UPPER(Table1[[#This Row],[Department]])</f>
        <v>DATA SCIENCE</v>
      </c>
      <c r="M23" s="2" t="s">
        <v>72</v>
      </c>
      <c r="N23" s="2">
        <f>91-8765432109</f>
        <v>-8765432018</v>
      </c>
      <c r="O23" s="2" t="str">
        <f>IF(Table1[[#This Row],[Phone]]="","",IF(LEFT(Table1[[#This Row],[Phone]],3)="91-",Table1[[#This Row],[Phone]],"91"&amp;Table1[[#This Row],[Phone]]))</f>
        <v>91-8765432018</v>
      </c>
      <c r="P23" s="2" t="s">
        <v>158</v>
      </c>
      <c r="Q23" s="2">
        <v>40088</v>
      </c>
    </row>
    <row r="24" spans="5:17" x14ac:dyDescent="0.25">
      <c r="E24" s="2">
        <v>18</v>
      </c>
      <c r="F24" s="2" t="s">
        <v>7</v>
      </c>
      <c r="G24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Rohit Sharma</v>
      </c>
      <c r="H24" s="2">
        <v>28</v>
      </c>
      <c r="I24" s="2">
        <f>IF(Table1[[#This Row],[Age]]="",AVERAGE(Table1[Age]),Table1[[#This Row],[Age]])</f>
        <v>28</v>
      </c>
      <c r="J24" s="2" t="s">
        <v>8</v>
      </c>
      <c r="K24" s="2" t="s">
        <v>150</v>
      </c>
      <c r="L24" s="2" t="str">
        <f>UPPER(Table1[[#This Row],[Department]])</f>
        <v>DATA SCIENCE</v>
      </c>
      <c r="M24" s="2" t="s">
        <v>9</v>
      </c>
      <c r="N24" s="2">
        <f>91-9876543210</f>
        <v>-9876543119</v>
      </c>
      <c r="O24" s="2" t="str">
        <f>IF(Table1[[#This Row],[Phone]]="","",IF(LEFT(Table1[[#This Row],[Phone]],3)="91-",Table1[[#This Row],[Phone]],"91"&amp;Table1[[#This Row],[Phone]]))</f>
        <v>91-9876543119</v>
      </c>
      <c r="P24" s="2" t="s">
        <v>10</v>
      </c>
      <c r="Q24" s="2">
        <v>2949</v>
      </c>
    </row>
    <row r="25" spans="5:17" x14ac:dyDescent="0.25">
      <c r="E25" s="2">
        <v>19</v>
      </c>
      <c r="F25" s="2" t="s">
        <v>11</v>
      </c>
      <c r="G25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Deepika Singh</v>
      </c>
      <c r="H25" s="2">
        <v>30</v>
      </c>
      <c r="I25" s="2">
        <f>IF(Table1[[#This Row],[Age]]="",AVERAGE(Table1[Age]),Table1[[#This Row],[Age]])</f>
        <v>30</v>
      </c>
      <c r="J25" s="2" t="s">
        <v>12</v>
      </c>
      <c r="K25" s="2" t="s">
        <v>150</v>
      </c>
      <c r="L25" s="2" t="str">
        <f>UPPER(Table1[[#This Row],[Department]])</f>
        <v>DATA SCIENCE</v>
      </c>
      <c r="M25" s="2" t="s">
        <v>13</v>
      </c>
      <c r="N25" s="2">
        <f>91-5555555555</f>
        <v>-5555555464</v>
      </c>
      <c r="O25" s="2" t="str">
        <f>IF(Table1[[#This Row],[Phone]]="","",IF(LEFT(Table1[[#This Row],[Phone]],3)="91-",Table1[[#This Row],[Phone]],"91"&amp;Table1[[#This Row],[Phone]]))</f>
        <v>91-5555555464</v>
      </c>
      <c r="P25" s="2" t="s">
        <v>14</v>
      </c>
      <c r="Q25" s="2">
        <v>3337</v>
      </c>
    </row>
    <row r="26" spans="5:17" x14ac:dyDescent="0.25">
      <c r="E26" s="2">
        <v>20</v>
      </c>
      <c r="F26" s="2"/>
      <c r="G26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Vikas Joshi</v>
      </c>
      <c r="H26" s="2">
        <v>32</v>
      </c>
      <c r="I26" s="2">
        <f>IF(Table1[[#This Row],[Age]]="",AVERAGE(Table1[Age]),Table1[[#This Row],[Age]])</f>
        <v>32</v>
      </c>
      <c r="J26" s="2" t="s">
        <v>8</v>
      </c>
      <c r="K26" s="2" t="s">
        <v>147</v>
      </c>
      <c r="L26" s="2" t="str">
        <f>UPPER(Table1[[#This Row],[Department]])</f>
        <v>FINANCE/ACCOUNTS</v>
      </c>
      <c r="M26" s="2" t="s">
        <v>15</v>
      </c>
      <c r="N26" s="2">
        <f>91-9999999999</f>
        <v>-9999999908</v>
      </c>
      <c r="O26" s="2" t="str">
        <f>IF(Table1[[#This Row],[Phone]]="","",IF(LEFT(Table1[[#This Row],[Phone]],3)="91-",Table1[[#This Row],[Phone]],"91"&amp;Table1[[#This Row],[Phone]]))</f>
        <v>91-9999999908</v>
      </c>
      <c r="P26" s="2" t="s">
        <v>158</v>
      </c>
      <c r="Q26" s="2">
        <v>2857</v>
      </c>
    </row>
    <row r="27" spans="5:17" x14ac:dyDescent="0.25">
      <c r="E27" s="2">
        <v>21</v>
      </c>
      <c r="F27" s="2" t="s">
        <v>16</v>
      </c>
      <c r="G27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Nisha Verma</v>
      </c>
      <c r="H27" s="2">
        <v>26</v>
      </c>
      <c r="I27" s="2">
        <f>IF(Table1[[#This Row],[Age]]="",AVERAGE(Table1[Age]),Table1[[#This Row],[Age]])</f>
        <v>26</v>
      </c>
      <c r="J27" s="2" t="s">
        <v>12</v>
      </c>
      <c r="K27" s="2" t="s">
        <v>148</v>
      </c>
      <c r="L27" s="2" t="str">
        <f>UPPER(Table1[[#This Row],[Department]])</f>
        <v>MANGEMENT</v>
      </c>
      <c r="M27" s="2" t="s">
        <v>17</v>
      </c>
      <c r="N27" s="2"/>
      <c r="O27" s="2" t="str">
        <f>IF(Table1[[#This Row],[Phone]]="","",IF(LEFT(Table1[[#This Row],[Phone]],3)="91-",Table1[[#This Row],[Phone]],"91"&amp;Table1[[#This Row],[Phone]]))</f>
        <v/>
      </c>
      <c r="P27" s="2" t="s">
        <v>18</v>
      </c>
      <c r="Q27" s="2">
        <v>35969</v>
      </c>
    </row>
    <row r="28" spans="5:17" x14ac:dyDescent="0.25">
      <c r="E28" s="2">
        <v>22</v>
      </c>
      <c r="F28" s="2" t="s">
        <v>19</v>
      </c>
      <c r="G28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Manoj Kumar</v>
      </c>
      <c r="H28" s="2">
        <v>33</v>
      </c>
      <c r="I28" s="2">
        <f>IF(Table1[[#This Row],[Age]]="",AVERAGE(Table1[Age]),Table1[[#This Row],[Age]])</f>
        <v>33</v>
      </c>
      <c r="J28" s="2" t="s">
        <v>8</v>
      </c>
      <c r="K28" s="2" t="s">
        <v>149</v>
      </c>
      <c r="L28" s="2" t="str">
        <f>UPPER(Table1[[#This Row],[Department]])</f>
        <v>DATA SCIENCE</v>
      </c>
      <c r="M28" s="2" t="s">
        <v>20</v>
      </c>
      <c r="N28" s="2">
        <f>91-8888888888</f>
        <v>-8888888797</v>
      </c>
      <c r="O28" s="2" t="str">
        <f>IF(Table1[[#This Row],[Phone]]="","",IF(LEFT(Table1[[#This Row],[Phone]],3)="91-",Table1[[#This Row],[Phone]],"91"&amp;Table1[[#This Row],[Phone]]))</f>
        <v>91-8888888797</v>
      </c>
      <c r="P28" s="2" t="s">
        <v>21</v>
      </c>
      <c r="Q28" s="2">
        <v>49681</v>
      </c>
    </row>
    <row r="29" spans="5:17" x14ac:dyDescent="0.25">
      <c r="E29" s="2">
        <v>24</v>
      </c>
      <c r="F29" s="2" t="s">
        <v>22</v>
      </c>
      <c r="G29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Sanjay Gupta</v>
      </c>
      <c r="H29" s="2">
        <v>29</v>
      </c>
      <c r="I29" s="2">
        <f>IF(Table1[[#This Row],[Age]]="",AVERAGE(Table1[Age]),Table1[[#This Row],[Age]])</f>
        <v>29</v>
      </c>
      <c r="J29" s="2" t="s">
        <v>8</v>
      </c>
      <c r="K29" s="2" t="s">
        <v>144</v>
      </c>
      <c r="L29" s="2" t="str">
        <f>UPPER(Table1[[#This Row],[Department]])</f>
        <v>OPERATIONS</v>
      </c>
      <c r="M29" s="2" t="s">
        <v>23</v>
      </c>
      <c r="N29" s="2" t="s">
        <v>151</v>
      </c>
      <c r="O29" s="2" t="str">
        <f>IF(Table1[[#This Row],[Phone]]="","",IF(LEFT(Table1[[#This Row],[Phone]],3)="91-",Table1[[#This Row],[Phone]],"91"&amp;Table1[[#This Row],[Phone]]))</f>
        <v>91-6666666666</v>
      </c>
      <c r="P29" s="2" t="s">
        <v>158</v>
      </c>
      <c r="Q29" s="2">
        <v>15853</v>
      </c>
    </row>
    <row r="30" spans="5:17" x14ac:dyDescent="0.25">
      <c r="E30" s="2">
        <v>25</v>
      </c>
      <c r="F30" s="2" t="s">
        <v>24</v>
      </c>
      <c r="G30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Anjali Sharma</v>
      </c>
      <c r="H30" s="2"/>
      <c r="I30" s="2">
        <f>IF(Table1[[#This Row],[Age]]="",AVERAGE(Table1[Age]),Table1[[#This Row],[Age]])</f>
        <v>29.636363636363637</v>
      </c>
      <c r="J30" s="2" t="s">
        <v>12</v>
      </c>
      <c r="K30" s="2" t="s">
        <v>145</v>
      </c>
      <c r="L30" s="2" t="str">
        <f>UPPER(Table1[[#This Row],[Department]])</f>
        <v>IT DEPARTMENT</v>
      </c>
      <c r="M30" s="2" t="s">
        <v>25</v>
      </c>
      <c r="N30" s="2">
        <f>91-5555555555</f>
        <v>-5555555464</v>
      </c>
      <c r="O30" s="2" t="str">
        <f>IF(Table1[[#This Row],[Phone]]="","",IF(LEFT(Table1[[#This Row],[Phone]],3)="91-",Table1[[#This Row],[Phone]],"91"&amp;Table1[[#This Row],[Phone]]))</f>
        <v>91-5555555464</v>
      </c>
      <c r="P30" s="2" t="s">
        <v>26</v>
      </c>
      <c r="Q30" s="2">
        <v>6926</v>
      </c>
    </row>
    <row r="31" spans="5:17" x14ac:dyDescent="0.25">
      <c r="E31" s="2">
        <v>26</v>
      </c>
      <c r="F31" s="2" t="s">
        <v>27</v>
      </c>
      <c r="G31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Akash Patel</v>
      </c>
      <c r="H31" s="2">
        <v>31</v>
      </c>
      <c r="I31" s="2">
        <f>IF(Table1[[#This Row],[Age]]="",AVERAGE(Table1[Age]),Table1[[#This Row],[Age]])</f>
        <v>31</v>
      </c>
      <c r="J31" s="2" t="s">
        <v>8</v>
      </c>
      <c r="K31" s="2" t="s">
        <v>147</v>
      </c>
      <c r="L31" s="2" t="str">
        <f>UPPER(Table1[[#This Row],[Department]])</f>
        <v>FINANCE/ACCOUNTS</v>
      </c>
      <c r="M31" s="2" t="s">
        <v>28</v>
      </c>
      <c r="N31" s="2"/>
      <c r="O31" s="2" t="str">
        <f>IF(Table1[[#This Row],[Phone]]="","",IF(LEFT(Table1[[#This Row],[Phone]],3)="91-",Table1[[#This Row],[Phone]],"91"&amp;Table1[[#This Row],[Phone]]))</f>
        <v/>
      </c>
      <c r="P31" s="2" t="s">
        <v>29</v>
      </c>
      <c r="Q31" s="2">
        <v>45678</v>
      </c>
    </row>
    <row r="32" spans="5:17" x14ac:dyDescent="0.25">
      <c r="E32" s="2">
        <v>27</v>
      </c>
      <c r="F32" s="2" t="s">
        <v>30</v>
      </c>
      <c r="G32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Preeti Singh</v>
      </c>
      <c r="H32" s="2">
        <v>28</v>
      </c>
      <c r="I32" s="2">
        <f>IF(Table1[[#This Row],[Age]]="",AVERAGE(Table1[Age]),Table1[[#This Row],[Age]])</f>
        <v>28</v>
      </c>
      <c r="J32" s="2" t="s">
        <v>12</v>
      </c>
      <c r="K32" s="2" t="s">
        <v>148</v>
      </c>
      <c r="L32" s="2" t="str">
        <f>UPPER(Table1[[#This Row],[Department]])</f>
        <v>MANGEMENT</v>
      </c>
      <c r="M32" s="2" t="s">
        <v>31</v>
      </c>
      <c r="N32" s="2">
        <f>91-7777777777</f>
        <v>-7777777686</v>
      </c>
      <c r="O32" s="2" t="str">
        <f>IF(Table1[[#This Row],[Phone]]="","",IF(LEFT(Table1[[#This Row],[Phone]],3)="91-",Table1[[#This Row],[Phone]],"91"&amp;Table1[[#This Row],[Phone]]))</f>
        <v>91-7777777686</v>
      </c>
      <c r="P32" s="2" t="s">
        <v>32</v>
      </c>
      <c r="Q32" s="2">
        <v>8022</v>
      </c>
    </row>
    <row r="33" spans="5:17" x14ac:dyDescent="0.25">
      <c r="E33" s="2">
        <v>28</v>
      </c>
      <c r="F33" s="2" t="s">
        <v>73</v>
      </c>
      <c r="G33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Ravi Kumar</v>
      </c>
      <c r="H33" s="2">
        <v>34</v>
      </c>
      <c r="I33" s="2">
        <f>IF(Table1[[#This Row],[Age]]="",AVERAGE(Table1[Age]),Table1[[#This Row],[Age]])</f>
        <v>34</v>
      </c>
      <c r="J33" s="2" t="s">
        <v>8</v>
      </c>
      <c r="K33" s="2" t="s">
        <v>149</v>
      </c>
      <c r="L33" s="2" t="str">
        <f>UPPER(Table1[[#This Row],[Department]])</f>
        <v>DATA SCIENCE</v>
      </c>
      <c r="M33" s="2" t="s">
        <v>74</v>
      </c>
      <c r="N33" s="2">
        <f>91-8888888888</f>
        <v>-8888888797</v>
      </c>
      <c r="O33" s="2" t="str">
        <f>IF(Table1[[#This Row],[Phone]]="","",IF(LEFT(Table1[[#This Row],[Phone]],3)="91-",Table1[[#This Row],[Phone]],"91"&amp;Table1[[#This Row],[Phone]]))</f>
        <v>91-8888888797</v>
      </c>
      <c r="P33" s="2" t="s">
        <v>75</v>
      </c>
      <c r="Q33" s="2">
        <v>3484</v>
      </c>
    </row>
    <row r="34" spans="5:17" x14ac:dyDescent="0.25">
      <c r="E34" s="2">
        <v>29</v>
      </c>
      <c r="F34" s="2" t="s">
        <v>76</v>
      </c>
      <c r="G34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Swati Mishra</v>
      </c>
      <c r="H34" s="2">
        <v>26</v>
      </c>
      <c r="I34" s="2">
        <f>IF(Table1[[#This Row],[Age]]="",AVERAGE(Table1[Age]),Table1[[#This Row],[Age]])</f>
        <v>26</v>
      </c>
      <c r="J34" s="2" t="s">
        <v>12</v>
      </c>
      <c r="K34" s="2" t="s">
        <v>145</v>
      </c>
      <c r="L34" s="2" t="str">
        <f>UPPER(Table1[[#This Row],[Department]])</f>
        <v>IT DEPARTMENT</v>
      </c>
      <c r="M34" s="2" t="s">
        <v>77</v>
      </c>
      <c r="N34" s="2">
        <f>91-7777777777</f>
        <v>-7777777686</v>
      </c>
      <c r="O34" s="2" t="str">
        <f>IF(Table1[[#This Row],[Phone]]="","",IF(LEFT(Table1[[#This Row],[Phone]],3)="91-",Table1[[#This Row],[Phone]],"91"&amp;Table1[[#This Row],[Phone]]))</f>
        <v>91-7777777686</v>
      </c>
      <c r="P34" s="2" t="s">
        <v>78</v>
      </c>
      <c r="Q34" s="2">
        <v>11342</v>
      </c>
    </row>
    <row r="35" spans="5:17" x14ac:dyDescent="0.25">
      <c r="E35" s="2">
        <v>30</v>
      </c>
      <c r="F35" s="2"/>
      <c r="G35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Ankit Singh</v>
      </c>
      <c r="H35" s="2">
        <v>29</v>
      </c>
      <c r="I35" s="2">
        <f>IF(Table1[[#This Row],[Age]]="",AVERAGE(Table1[Age]),Table1[[#This Row],[Age]])</f>
        <v>29</v>
      </c>
      <c r="J35" s="2" t="s">
        <v>8</v>
      </c>
      <c r="K35" s="2" t="s">
        <v>141</v>
      </c>
      <c r="L35" s="2" t="str">
        <f>UPPER(Table1[[#This Row],[Department]])</f>
        <v>SALES</v>
      </c>
      <c r="M35" s="2" t="s">
        <v>79</v>
      </c>
      <c r="N35" s="2"/>
      <c r="O35" s="2" t="str">
        <f>IF(Table1[[#This Row],[Phone]]="","",IF(LEFT(Table1[[#This Row],[Phone]],3)="91-",Table1[[#This Row],[Phone]],"91"&amp;Table1[[#This Row],[Phone]]))</f>
        <v/>
      </c>
      <c r="P35" s="2" t="s">
        <v>80</v>
      </c>
      <c r="Q35" s="2">
        <v>40940</v>
      </c>
    </row>
    <row r="36" spans="5:17" x14ac:dyDescent="0.25">
      <c r="E36" s="2">
        <v>31</v>
      </c>
      <c r="F36" s="2" t="s">
        <v>53</v>
      </c>
      <c r="G36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Neha Gupta</v>
      </c>
      <c r="H36" s="2">
        <v>27</v>
      </c>
      <c r="I36" s="2">
        <f>IF(Table1[[#This Row],[Age]]="",AVERAGE(Table1[Age]),Table1[[#This Row],[Age]])</f>
        <v>27</v>
      </c>
      <c r="J36" s="2" t="s">
        <v>12</v>
      </c>
      <c r="K36" s="2" t="s">
        <v>141</v>
      </c>
      <c r="L36" s="2" t="str">
        <f>UPPER(Table1[[#This Row],[Department]])</f>
        <v>SALES</v>
      </c>
      <c r="M36" s="2" t="s">
        <v>81</v>
      </c>
      <c r="N36" s="2">
        <f>91-5555555555</f>
        <v>-5555555464</v>
      </c>
      <c r="O36" s="2" t="str">
        <f>IF(Table1[[#This Row],[Phone]]="","",IF(LEFT(Table1[[#This Row],[Phone]],3)="91-",Table1[[#This Row],[Phone]],"91"&amp;Table1[[#This Row],[Phone]]))</f>
        <v>91-5555555464</v>
      </c>
      <c r="P36" s="2" t="s">
        <v>158</v>
      </c>
      <c r="Q36" s="2">
        <v>41841</v>
      </c>
    </row>
    <row r="37" spans="5:17" x14ac:dyDescent="0.25">
      <c r="E37" s="2">
        <v>32</v>
      </c>
      <c r="F37" s="2" t="s">
        <v>82</v>
      </c>
      <c r="G37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Rajeev Sharma</v>
      </c>
      <c r="H37" s="2">
        <v>32</v>
      </c>
      <c r="I37" s="2">
        <f>IF(Table1[[#This Row],[Age]]="",AVERAGE(Table1[Age]),Table1[[#This Row],[Age]])</f>
        <v>32</v>
      </c>
      <c r="J37" s="2" t="s">
        <v>8</v>
      </c>
      <c r="K37" s="2" t="s">
        <v>147</v>
      </c>
      <c r="L37" s="2" t="str">
        <f>UPPER(Table1[[#This Row],[Department]])</f>
        <v>FINANCE/ACCOUNTS</v>
      </c>
      <c r="M37" s="2" t="s">
        <v>83</v>
      </c>
      <c r="N37" s="2"/>
      <c r="O37" s="2" t="str">
        <f>IF(Table1[[#This Row],[Phone]]="","",IF(LEFT(Table1[[#This Row],[Phone]],3)="91-",Table1[[#This Row],[Phone]],"91"&amp;Table1[[#This Row],[Phone]]))</f>
        <v/>
      </c>
      <c r="P37" s="2" t="s">
        <v>84</v>
      </c>
      <c r="Q37" s="2">
        <v>39835</v>
      </c>
    </row>
    <row r="38" spans="5:17" x14ac:dyDescent="0.25">
      <c r="E38" s="2">
        <v>33</v>
      </c>
      <c r="F38" s="2"/>
      <c r="G38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Sarika Patel</v>
      </c>
      <c r="H38" s="2">
        <v>33</v>
      </c>
      <c r="I38" s="2">
        <f>IF(Table1[[#This Row],[Age]]="",AVERAGE(Table1[Age]),Table1[[#This Row],[Age]])</f>
        <v>33</v>
      </c>
      <c r="J38" s="2" t="s">
        <v>12</v>
      </c>
      <c r="K38" s="2" t="s">
        <v>148</v>
      </c>
      <c r="L38" s="2" t="str">
        <f>UPPER(Table1[[#This Row],[Department]])</f>
        <v>MANGEMENT</v>
      </c>
      <c r="M38" s="2" t="s">
        <v>85</v>
      </c>
      <c r="N38" s="2">
        <f>91-6666666666</f>
        <v>-6666666575</v>
      </c>
      <c r="O38" s="2" t="str">
        <f>IF(Table1[[#This Row],[Phone]]="","",IF(LEFT(Table1[[#This Row],[Phone]],3)="91-",Table1[[#This Row],[Phone]],"91"&amp;Table1[[#This Row],[Phone]]))</f>
        <v>91-6666666575</v>
      </c>
      <c r="P38" s="2" t="s">
        <v>86</v>
      </c>
      <c r="Q38" s="2">
        <v>9577</v>
      </c>
    </row>
    <row r="39" spans="5:17" x14ac:dyDescent="0.25">
      <c r="E39" s="2">
        <v>34</v>
      </c>
      <c r="F39" s="2" t="s">
        <v>87</v>
      </c>
      <c r="G39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Vinay Singh</v>
      </c>
      <c r="H39" s="2">
        <v>30</v>
      </c>
      <c r="I39" s="2">
        <f>IF(Table1[[#This Row],[Age]]="",AVERAGE(Table1[Age]),Table1[[#This Row],[Age]])</f>
        <v>30</v>
      </c>
      <c r="J39" s="2" t="s">
        <v>8</v>
      </c>
      <c r="K39" s="2" t="s">
        <v>149</v>
      </c>
      <c r="L39" s="2" t="str">
        <f>UPPER(Table1[[#This Row],[Department]])</f>
        <v>DATA SCIENCE</v>
      </c>
      <c r="M39" s="2" t="s">
        <v>88</v>
      </c>
      <c r="N39" s="2"/>
      <c r="O39" s="2" t="str">
        <f>IF(Table1[[#This Row],[Phone]]="","",IF(LEFT(Table1[[#This Row],[Phone]],3)="91-",Table1[[#This Row],[Phone]],"91"&amp;Table1[[#This Row],[Phone]]))</f>
        <v/>
      </c>
      <c r="P39" s="2" t="s">
        <v>89</v>
      </c>
      <c r="Q39" s="2">
        <v>29480</v>
      </c>
    </row>
    <row r="40" spans="5:17" x14ac:dyDescent="0.25">
      <c r="E40" s="2">
        <v>35</v>
      </c>
      <c r="F40" s="2" t="s">
        <v>90</v>
      </c>
      <c r="G40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Priya Gupta</v>
      </c>
      <c r="H40" s="2"/>
      <c r="I40" s="2">
        <f>IF(Table1[[#This Row],[Age]]="",AVERAGE(Table1[Age]),Table1[[#This Row],[Age]])</f>
        <v>29.636363636363637</v>
      </c>
      <c r="J40" s="2" t="s">
        <v>12</v>
      </c>
      <c r="K40" s="2" t="s">
        <v>145</v>
      </c>
      <c r="L40" s="2" t="str">
        <f>UPPER(Table1[[#This Row],[Department]])</f>
        <v>IT DEPARTMENT</v>
      </c>
      <c r="M40" s="2" t="s">
        <v>91</v>
      </c>
      <c r="N40" s="2">
        <f>91-5555555555</f>
        <v>-5555555464</v>
      </c>
      <c r="O40" s="2" t="str">
        <f>IF(Table1[[#This Row],[Phone]]="","",IF(LEFT(Table1[[#This Row],[Phone]],3)="91-",Table1[[#This Row],[Phone]],"91"&amp;Table1[[#This Row],[Phone]]))</f>
        <v>91-5555555464</v>
      </c>
      <c r="P40" s="2" t="s">
        <v>92</v>
      </c>
      <c r="Q40" s="2">
        <v>14254</v>
      </c>
    </row>
    <row r="41" spans="5:17" x14ac:dyDescent="0.25">
      <c r="E41" s="2">
        <v>36</v>
      </c>
      <c r="F41" s="2" t="s">
        <v>93</v>
      </c>
      <c r="G41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Sushant Patel</v>
      </c>
      <c r="H41" s="2">
        <v>29</v>
      </c>
      <c r="I41" s="2">
        <f>IF(Table1[[#This Row],[Age]]="",AVERAGE(Table1[Age]),Table1[[#This Row],[Age]])</f>
        <v>29</v>
      </c>
      <c r="J41" s="2" t="s">
        <v>8</v>
      </c>
      <c r="K41" s="2" t="s">
        <v>141</v>
      </c>
      <c r="L41" s="2" t="str">
        <f>UPPER(Table1[[#This Row],[Department]])</f>
        <v>SALES</v>
      </c>
      <c r="M41" s="2" t="s">
        <v>94</v>
      </c>
      <c r="N41" s="2">
        <f>91-7777777777</f>
        <v>-7777777686</v>
      </c>
      <c r="O41" s="2" t="str">
        <f>IF(Table1[[#This Row],[Phone]]="","",IF(LEFT(Table1[[#This Row],[Phone]],3)="91-",Table1[[#This Row],[Phone]],"91"&amp;Table1[[#This Row],[Phone]]))</f>
        <v>91-7777777686</v>
      </c>
      <c r="P41" s="2" t="s">
        <v>95</v>
      </c>
      <c r="Q41" s="2">
        <v>37358</v>
      </c>
    </row>
    <row r="42" spans="5:17" x14ac:dyDescent="0.25">
      <c r="E42" s="2">
        <v>37</v>
      </c>
      <c r="F42" s="2"/>
      <c r="G42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Payal Sharma</v>
      </c>
      <c r="H42" s="2">
        <v>31</v>
      </c>
      <c r="I42" s="2">
        <f>IF(Table1[[#This Row],[Age]]="",AVERAGE(Table1[Age]),Table1[[#This Row],[Age]])</f>
        <v>31</v>
      </c>
      <c r="J42" s="2" t="s">
        <v>12</v>
      </c>
      <c r="K42" s="2" t="s">
        <v>141</v>
      </c>
      <c r="L42" s="2" t="str">
        <f>UPPER(Table1[[#This Row],[Department]])</f>
        <v>SALES</v>
      </c>
      <c r="M42" s="2" t="s">
        <v>96</v>
      </c>
      <c r="N42" s="2"/>
      <c r="O42" s="2" t="str">
        <f>IF(Table1[[#This Row],[Phone]]="","",IF(LEFT(Table1[[#This Row],[Phone]],3)="91-",Table1[[#This Row],[Phone]],"91"&amp;Table1[[#This Row],[Phone]]))</f>
        <v/>
      </c>
      <c r="P42" s="2" t="s">
        <v>97</v>
      </c>
      <c r="Q42" s="2">
        <v>48367</v>
      </c>
    </row>
    <row r="43" spans="5:17" x14ac:dyDescent="0.25">
      <c r="E43" s="2">
        <v>38</v>
      </c>
      <c r="F43" s="2" t="s">
        <v>98</v>
      </c>
      <c r="G43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Mohit Verma</v>
      </c>
      <c r="H43" s="2">
        <v>28</v>
      </c>
      <c r="I43" s="2">
        <f>IF(Table1[[#This Row],[Age]]="",AVERAGE(Table1[Age]),Table1[[#This Row],[Age]])</f>
        <v>28</v>
      </c>
      <c r="J43" s="2" t="s">
        <v>8</v>
      </c>
      <c r="K43" s="2" t="s">
        <v>142</v>
      </c>
      <c r="L43" s="2" t="str">
        <f>UPPER(Table1[[#This Row],[Department]])</f>
        <v>HR</v>
      </c>
      <c r="M43" s="2" t="s">
        <v>99</v>
      </c>
      <c r="N43" s="2">
        <f>91-8888888888</f>
        <v>-8888888797</v>
      </c>
      <c r="O43" s="2" t="str">
        <f>IF(Table1[[#This Row],[Phone]]="","",IF(LEFT(Table1[[#This Row],[Phone]],3)="91-",Table1[[#This Row],[Phone]],"91"&amp;Table1[[#This Row],[Phone]]))</f>
        <v>91-8888888797</v>
      </c>
      <c r="P43" s="2" t="s">
        <v>100</v>
      </c>
      <c r="Q43" s="2">
        <v>37473</v>
      </c>
    </row>
    <row r="44" spans="5:17" x14ac:dyDescent="0.25">
      <c r="E44" s="2">
        <v>39</v>
      </c>
      <c r="F44" s="2" t="s">
        <v>101</v>
      </c>
      <c r="G44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Kavita Singh</v>
      </c>
      <c r="H44" s="2">
        <v>33</v>
      </c>
      <c r="I44" s="2">
        <f>IF(Table1[[#This Row],[Age]]="",AVERAGE(Table1[Age]),Table1[[#This Row],[Age]])</f>
        <v>33</v>
      </c>
      <c r="J44" s="2" t="s">
        <v>12</v>
      </c>
      <c r="K44" s="2" t="s">
        <v>143</v>
      </c>
      <c r="L44" s="2" t="str">
        <f>UPPER(Table1[[#This Row],[Department]])</f>
        <v>HR</v>
      </c>
      <c r="M44" s="2" t="s">
        <v>102</v>
      </c>
      <c r="N44" s="2">
        <f>91-9999999999</f>
        <v>-9999999908</v>
      </c>
      <c r="O44" s="2" t="str">
        <f>IF(Table1[[#This Row],[Phone]]="","",IF(LEFT(Table1[[#This Row],[Phone]],3)="91-",Table1[[#This Row],[Phone]],"91"&amp;Table1[[#This Row],[Phone]]))</f>
        <v>91-9999999908</v>
      </c>
      <c r="P44" s="2" t="s">
        <v>103</v>
      </c>
      <c r="Q44" s="2">
        <v>30628</v>
      </c>
    </row>
    <row r="45" spans="5:17" x14ac:dyDescent="0.25">
      <c r="E45" s="2">
        <v>40</v>
      </c>
      <c r="F45" s="2" t="s">
        <v>104</v>
      </c>
      <c r="G45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Ankit Patel</v>
      </c>
      <c r="H45" s="2">
        <v>30</v>
      </c>
      <c r="I45" s="2">
        <f>IF(Table1[[#This Row],[Age]]="",AVERAGE(Table1[Age]),Table1[[#This Row],[Age]])</f>
        <v>30</v>
      </c>
      <c r="J45" s="2" t="s">
        <v>8</v>
      </c>
      <c r="K45" s="2" t="s">
        <v>144</v>
      </c>
      <c r="L45" s="2" t="str">
        <f>UPPER(Table1[[#This Row],[Department]])</f>
        <v>OPERATIONS</v>
      </c>
      <c r="M45" s="2" t="s">
        <v>105</v>
      </c>
      <c r="N45" s="2"/>
      <c r="O45" s="2" t="str">
        <f>IF(Table1[[#This Row],[Phone]]="","",IF(LEFT(Table1[[#This Row],[Phone]],3)="91-",Table1[[#This Row],[Phone]],"91"&amp;Table1[[#This Row],[Phone]]))</f>
        <v/>
      </c>
      <c r="P45" s="2" t="s">
        <v>106</v>
      </c>
      <c r="Q45" s="2">
        <v>22018</v>
      </c>
    </row>
    <row r="46" spans="5:17" x14ac:dyDescent="0.25">
      <c r="E46" s="2">
        <v>41</v>
      </c>
      <c r="F46" s="2" t="s">
        <v>107</v>
      </c>
      <c r="G46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Pooja Mishra</v>
      </c>
      <c r="H46" s="2">
        <v>27</v>
      </c>
      <c r="I46" s="2">
        <f>IF(Table1[[#This Row],[Age]]="",AVERAGE(Table1[Age]),Table1[[#This Row],[Age]])</f>
        <v>27</v>
      </c>
      <c r="J46" s="2" t="s">
        <v>12</v>
      </c>
      <c r="K46" s="2" t="s">
        <v>150</v>
      </c>
      <c r="L46" s="2" t="str">
        <f>UPPER(Table1[[#This Row],[Department]])</f>
        <v>DATA SCIENCE</v>
      </c>
      <c r="M46" s="2" t="s">
        <v>108</v>
      </c>
      <c r="N46" s="2">
        <f>91-7777777777</f>
        <v>-7777777686</v>
      </c>
      <c r="O46" s="2" t="str">
        <f>IF(Table1[[#This Row],[Phone]]="","",IF(LEFT(Table1[[#This Row],[Phone]],3)="91-",Table1[[#This Row],[Phone]],"91"&amp;Table1[[#This Row],[Phone]]))</f>
        <v>91-7777777686</v>
      </c>
      <c r="P46" s="2" t="s">
        <v>109</v>
      </c>
      <c r="Q46" s="2">
        <v>35747</v>
      </c>
    </row>
    <row r="47" spans="5:17" x14ac:dyDescent="0.25">
      <c r="E47" s="2">
        <v>42</v>
      </c>
      <c r="F47" s="2" t="s">
        <v>110</v>
      </c>
      <c r="G47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Mohan Kumar</v>
      </c>
      <c r="H47" s="2">
        <v>29</v>
      </c>
      <c r="I47" s="2">
        <f>IF(Table1[[#This Row],[Age]]="",AVERAGE(Table1[Age]),Table1[[#This Row],[Age]])</f>
        <v>29</v>
      </c>
      <c r="J47" s="2" t="s">
        <v>8</v>
      </c>
      <c r="K47" s="2" t="s">
        <v>141</v>
      </c>
      <c r="L47" s="2" t="str">
        <f>UPPER(Table1[[#This Row],[Department]])</f>
        <v>SALES</v>
      </c>
      <c r="M47" s="2" t="s">
        <v>111</v>
      </c>
      <c r="N47" s="2"/>
      <c r="O47" s="2" t="str">
        <f>IF(Table1[[#This Row],[Phone]]="","",IF(LEFT(Table1[[#This Row],[Phone]],3)="91-",Table1[[#This Row],[Phone]],"91"&amp;Table1[[#This Row],[Phone]]))</f>
        <v/>
      </c>
      <c r="P47" s="2" t="s">
        <v>112</v>
      </c>
      <c r="Q47" s="2">
        <v>32258</v>
      </c>
    </row>
    <row r="48" spans="5:17" x14ac:dyDescent="0.25">
      <c r="E48" s="2">
        <v>43</v>
      </c>
      <c r="F48" s="2" t="s">
        <v>113</v>
      </c>
      <c r="G48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Anjali Gupta</v>
      </c>
      <c r="H48" s="2">
        <v>26</v>
      </c>
      <c r="I48" s="2">
        <f>IF(Table1[[#This Row],[Age]]="",AVERAGE(Table1[Age]),Table1[[#This Row],[Age]])</f>
        <v>26</v>
      </c>
      <c r="J48" s="2" t="s">
        <v>12</v>
      </c>
      <c r="K48" s="2" t="s">
        <v>147</v>
      </c>
      <c r="L48" s="2" t="str">
        <f>UPPER(Table1[[#This Row],[Department]])</f>
        <v>FINANCE/ACCOUNTS</v>
      </c>
      <c r="M48" s="2" t="s">
        <v>114</v>
      </c>
      <c r="N48" s="2">
        <f>91-5555555555</f>
        <v>-5555555464</v>
      </c>
      <c r="O48" s="2" t="str">
        <f>IF(Table1[[#This Row],[Phone]]="","",IF(LEFT(Table1[[#This Row],[Phone]],3)="91-",Table1[[#This Row],[Phone]],"91"&amp;Table1[[#This Row],[Phone]]))</f>
        <v>91-5555555464</v>
      </c>
      <c r="P48" s="2" t="s">
        <v>115</v>
      </c>
      <c r="Q48" s="2">
        <v>31047</v>
      </c>
    </row>
    <row r="49" spans="5:17" x14ac:dyDescent="0.25">
      <c r="E49" s="2">
        <v>44</v>
      </c>
      <c r="F49" s="2"/>
      <c r="G49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Mukesh Sharma</v>
      </c>
      <c r="H49" s="2">
        <v>28</v>
      </c>
      <c r="I49" s="2">
        <f>IF(Table1[[#This Row],[Age]]="",AVERAGE(Table1[Age]),Table1[[#This Row],[Age]])</f>
        <v>28</v>
      </c>
      <c r="J49" s="2" t="s">
        <v>8</v>
      </c>
      <c r="K49" s="2" t="s">
        <v>148</v>
      </c>
      <c r="L49" s="2" t="str">
        <f>UPPER(Table1[[#This Row],[Department]])</f>
        <v>MANGEMENT</v>
      </c>
      <c r="M49" s="2" t="s">
        <v>116</v>
      </c>
      <c r="N49" s="2"/>
      <c r="O49" s="2" t="str">
        <f>IF(Table1[[#This Row],[Phone]]="","",IF(LEFT(Table1[[#This Row],[Phone]],3)="91-",Table1[[#This Row],[Phone]],"91"&amp;Table1[[#This Row],[Phone]]))</f>
        <v/>
      </c>
      <c r="P49" s="2" t="s">
        <v>117</v>
      </c>
      <c r="Q49" s="2">
        <v>31064</v>
      </c>
    </row>
    <row r="50" spans="5:17" x14ac:dyDescent="0.25">
      <c r="E50" s="2">
        <v>45</v>
      </c>
      <c r="F50" s="2" t="s">
        <v>118</v>
      </c>
      <c r="G50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Arjun Singh</v>
      </c>
      <c r="H50" s="2">
        <v>31</v>
      </c>
      <c r="I50" s="2">
        <f>IF(Table1[[#This Row],[Age]]="",AVERAGE(Table1[Age]),Table1[[#This Row],[Age]])</f>
        <v>31</v>
      </c>
      <c r="J50" s="2" t="s">
        <v>8</v>
      </c>
      <c r="K50" s="2" t="s">
        <v>149</v>
      </c>
      <c r="L50" s="2" t="str">
        <f>UPPER(Table1[[#This Row],[Department]])</f>
        <v>DATA SCIENCE</v>
      </c>
      <c r="M50" s="2" t="s">
        <v>119</v>
      </c>
      <c r="N50" s="2">
        <f>91-8888888888</f>
        <v>-8888888797</v>
      </c>
      <c r="O50" s="2" t="str">
        <f>IF(Table1[[#This Row],[Phone]]="","",IF(LEFT(Table1[[#This Row],[Phone]],3)="91-",Table1[[#This Row],[Phone]],"91"&amp;Table1[[#This Row],[Phone]]))</f>
        <v>91-8888888797</v>
      </c>
      <c r="P50" s="2" t="s">
        <v>158</v>
      </c>
      <c r="Q50" s="2">
        <v>3108</v>
      </c>
    </row>
    <row r="51" spans="5:17" x14ac:dyDescent="0.25">
      <c r="E51" s="2">
        <v>46</v>
      </c>
      <c r="F51" s="2" t="s">
        <v>120</v>
      </c>
      <c r="G51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Divya Patel</v>
      </c>
      <c r="H51" s="2">
        <v>27</v>
      </c>
      <c r="I51" s="2">
        <f>IF(Table1[[#This Row],[Age]]="",AVERAGE(Table1[Age]),Table1[[#This Row],[Age]])</f>
        <v>27</v>
      </c>
      <c r="J51" s="2" t="s">
        <v>12</v>
      </c>
      <c r="K51" s="2" t="s">
        <v>142</v>
      </c>
      <c r="L51" s="2" t="str">
        <f>UPPER(Table1[[#This Row],[Department]])</f>
        <v>HR</v>
      </c>
      <c r="M51" s="2" t="s">
        <v>121</v>
      </c>
      <c r="N51" s="2">
        <f>91-7777777777</f>
        <v>-7777777686</v>
      </c>
      <c r="O51" s="2" t="str">
        <f>IF(Table1[[#This Row],[Phone]]="","",IF(LEFT(Table1[[#This Row],[Phone]],3)="91-",Table1[[#This Row],[Phone]],"91"&amp;Table1[[#This Row],[Phone]]))</f>
        <v>91-7777777686</v>
      </c>
      <c r="P51" s="2" t="s">
        <v>122</v>
      </c>
      <c r="Q51" s="2">
        <v>20205</v>
      </c>
    </row>
    <row r="52" spans="5:17" x14ac:dyDescent="0.25">
      <c r="E52" s="2">
        <v>47</v>
      </c>
      <c r="F52" s="2"/>
      <c r="G52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Gaurav Kumar</v>
      </c>
      <c r="H52" s="2">
        <v>29</v>
      </c>
      <c r="I52" s="2">
        <f>IF(Table1[[#This Row],[Age]]="",AVERAGE(Table1[Age]),Table1[[#This Row],[Age]])</f>
        <v>29</v>
      </c>
      <c r="J52" s="2" t="s">
        <v>8</v>
      </c>
      <c r="K52" s="2" t="s">
        <v>143</v>
      </c>
      <c r="L52" s="2" t="str">
        <f>UPPER(Table1[[#This Row],[Department]])</f>
        <v>HR</v>
      </c>
      <c r="M52" s="2" t="s">
        <v>123</v>
      </c>
      <c r="N52" s="2"/>
      <c r="O52" s="2" t="str">
        <f>IF(Table1[[#This Row],[Phone]]="","",IF(LEFT(Table1[[#This Row],[Phone]],3)="91-",Table1[[#This Row],[Phone]],"91"&amp;Table1[[#This Row],[Phone]]))</f>
        <v/>
      </c>
      <c r="P52" s="2" t="s">
        <v>124</v>
      </c>
      <c r="Q52" s="2">
        <v>8746</v>
      </c>
    </row>
    <row r="53" spans="5:17" x14ac:dyDescent="0.25">
      <c r="E53" s="2">
        <v>48</v>
      </c>
      <c r="F53" s="2" t="s">
        <v>125</v>
      </c>
      <c r="G53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Aditi Shah</v>
      </c>
      <c r="H53" s="2">
        <v>32</v>
      </c>
      <c r="I53" s="2">
        <f>IF(Table1[[#This Row],[Age]]="",AVERAGE(Table1[Age]),Table1[[#This Row],[Age]])</f>
        <v>32</v>
      </c>
      <c r="J53" s="2" t="s">
        <v>12</v>
      </c>
      <c r="K53" s="2" t="s">
        <v>145</v>
      </c>
      <c r="L53" s="2" t="str">
        <f>UPPER(Table1[[#This Row],[Department]])</f>
        <v>IT DEPARTMENT</v>
      </c>
      <c r="M53" s="2" t="s">
        <v>126</v>
      </c>
      <c r="N53" s="2">
        <f>91-6666666666</f>
        <v>-6666666575</v>
      </c>
      <c r="O53" s="2" t="str">
        <f>IF(Table1[[#This Row],[Phone]]="","",IF(LEFT(Table1[[#This Row],[Phone]],3)="91-",Table1[[#This Row],[Phone]],"91"&amp;Table1[[#This Row],[Phone]]))</f>
        <v>91-6666666575</v>
      </c>
      <c r="P53" s="2" t="s">
        <v>127</v>
      </c>
      <c r="Q53" s="2">
        <v>15531</v>
      </c>
    </row>
    <row r="54" spans="5:17" x14ac:dyDescent="0.25">
      <c r="E54" s="2">
        <v>49</v>
      </c>
      <c r="F54" s="2" t="s">
        <v>128</v>
      </c>
      <c r="G54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Sandeep Singh</v>
      </c>
      <c r="H54" s="2"/>
      <c r="I54" s="2">
        <f>IF(Table1[[#This Row],[Age]]="",AVERAGE(Table1[Age]),Table1[[#This Row],[Age]])</f>
        <v>29.636363636363637</v>
      </c>
      <c r="J54" s="2" t="s">
        <v>8</v>
      </c>
      <c r="K54" s="2" t="s">
        <v>141</v>
      </c>
      <c r="L54" s="2" t="str">
        <f>UPPER(Table1[[#This Row],[Department]])</f>
        <v>SALES</v>
      </c>
      <c r="M54" s="2" t="s">
        <v>129</v>
      </c>
      <c r="N54" s="2">
        <f>91-5555555555</f>
        <v>-5555555464</v>
      </c>
      <c r="O54" s="2" t="str">
        <f>IF(Table1[[#This Row],[Phone]]="","",IF(LEFT(Table1[[#This Row],[Phone]],3)="91-",Table1[[#This Row],[Phone]],"91"&amp;Table1[[#This Row],[Phone]]))</f>
        <v>91-5555555464</v>
      </c>
      <c r="P54" s="2" t="s">
        <v>130</v>
      </c>
      <c r="Q54" s="2">
        <v>23055</v>
      </c>
    </row>
    <row r="55" spans="5:17" x14ac:dyDescent="0.25">
      <c r="E55" s="2">
        <v>50</v>
      </c>
      <c r="F55" s="2" t="s">
        <v>131</v>
      </c>
      <c r="G55" s="2" t="str">
        <f>IF(Table1[[#This Row],[Name]]="",REPLACE(PROPER(LEFT(Table1[[#This Row],[Email]],FIND("@",Table1[[#This Row],[Email]])-1)),FIND(".",LEFT(Table1[[#This Row],[Email]],FIND("@",Table1[[#This Row],[Email]])-1)),1," "),Table1[[#This Row],[Name]])</f>
        <v>Shalini Sharma</v>
      </c>
      <c r="H55" s="2">
        <v>30</v>
      </c>
      <c r="I55" s="2">
        <f>IF(Table1[[#This Row],[Age]]="",AVERAGE(Table1[Age]),Table1[[#This Row],[Age]])</f>
        <v>30</v>
      </c>
      <c r="J55" s="2" t="s">
        <v>12</v>
      </c>
      <c r="K55" s="2" t="s">
        <v>157</v>
      </c>
      <c r="L55" s="2" t="str">
        <f>UPPER(Table1[[#This Row],[Department]])</f>
        <v>SALES</v>
      </c>
      <c r="M55" s="2" t="s">
        <v>132</v>
      </c>
      <c r="N55" s="2"/>
      <c r="O55" s="2" t="str">
        <f>IF(Table1[[#This Row],[Phone]]="","",IF(LEFT(Table1[[#This Row],[Phone]],3)="91-",Table1[[#This Row],[Phone]],"91"&amp;Table1[[#This Row],[Phone]]))</f>
        <v/>
      </c>
      <c r="P55" s="2" t="s">
        <v>133</v>
      </c>
      <c r="Q55" s="2">
        <v>18647</v>
      </c>
    </row>
  </sheetData>
  <conditionalFormatting sqref="E7:Q55">
    <cfRule type="expression" dxfId="1" priority="1">
      <formula>$Q8&gt;=$S$8</formula>
    </cfRule>
  </conditionalFormatting>
  <hyperlinks>
    <hyperlink ref="O7" r:id="rId1" display="Phone_@" xr:uid="{9E2CA058-9EB0-4245-A4DF-8075F03D799E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Yaadwinder Singh</cp:lastModifiedBy>
  <dcterms:created xsi:type="dcterms:W3CDTF">2023-04-26T07:21:03Z</dcterms:created>
  <dcterms:modified xsi:type="dcterms:W3CDTF">2023-08-02T16:56:19Z</dcterms:modified>
</cp:coreProperties>
</file>